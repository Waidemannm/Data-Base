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rmol\Desktop\basedata-class\dataBase-aula13\dataBase\"/>
    </mc:Choice>
  </mc:AlternateContent>
  <xr:revisionPtr revIDLastSave="0" documentId="13_ncr:1_{2A808930-B607-46A6-BD27-AE33E6424DCF}" xr6:coauthVersionLast="47" xr6:coauthVersionMax="47" xr10:uidLastSave="{00000000-0000-0000-0000-000000000000}"/>
  <bookViews>
    <workbookView xWindow="-28920" yWindow="-1860" windowWidth="29040" windowHeight="15720" firstSheet="1" activeTab="4" xr2:uid="{3F8E45FD-9A9B-458B-ABA8-7C1DEAD5F7CE}"/>
  </bookViews>
  <sheets>
    <sheet name="PedidoVenda" sheetId="1" r:id="rId1"/>
    <sheet name="DadosPedidoVenda" sheetId="2" r:id="rId2"/>
    <sheet name="1FNDadosPedidoVenda" sheetId="3" r:id="rId3"/>
    <sheet name="2FNDadosPedidoVenda" sheetId="4" r:id="rId4"/>
    <sheet name="3FNDadosPedidoVend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9" i="3" l="1"/>
  <c r="I18" i="3"/>
  <c r="I17" i="3"/>
  <c r="I16" i="3"/>
  <c r="I15" i="3"/>
  <c r="I14" i="3"/>
  <c r="I13" i="3"/>
  <c r="I12" i="3"/>
  <c r="I11" i="3"/>
  <c r="E18" i="4"/>
  <c r="E17" i="4"/>
  <c r="E15" i="4"/>
  <c r="E13" i="4"/>
  <c r="E10" i="4"/>
  <c r="E11" i="4"/>
  <c r="E12" i="4"/>
  <c r="E18" i="5"/>
  <c r="E17" i="5"/>
  <c r="E16" i="5"/>
  <c r="E15" i="5"/>
  <c r="E14" i="5"/>
  <c r="E13" i="5"/>
  <c r="E12" i="5"/>
  <c r="E11" i="5"/>
  <c r="E10" i="5"/>
  <c r="E16" i="4"/>
  <c r="E14" i="4"/>
  <c r="P5" i="2"/>
  <c r="P6" i="2"/>
  <c r="P7" i="2"/>
  <c r="P8" i="2"/>
  <c r="P9" i="2"/>
  <c r="P10" i="2"/>
  <c r="P11" i="2"/>
  <c r="P12" i="2"/>
  <c r="P4" i="2"/>
</calcChain>
</file>

<file path=xl/sharedStrings.xml><?xml version="1.0" encoding="utf-8"?>
<sst xmlns="http://schemas.openxmlformats.org/spreadsheetml/2006/main" count="279" uniqueCount="83">
  <si>
    <t xml:space="preserve">Número do Pedido: </t>
  </si>
  <si>
    <t>Data venda:</t>
  </si>
  <si>
    <t>Prazo entrega:</t>
  </si>
  <si>
    <t>Codigo Vendedor:</t>
  </si>
  <si>
    <t>Nome Vendedor:</t>
  </si>
  <si>
    <t>Cliente:</t>
  </si>
  <si>
    <t>Nr. CPF:</t>
  </si>
  <si>
    <t>Endereço Entrega:</t>
  </si>
  <si>
    <t>Telefone:</t>
  </si>
  <si>
    <t>Cod. Produto</t>
  </si>
  <si>
    <t>Unidade</t>
  </si>
  <si>
    <t>Descrição Produto</t>
  </si>
  <si>
    <t>Qtde Venda</t>
  </si>
  <si>
    <t>Valor Total Item</t>
  </si>
  <si>
    <t>Valor Total Venda:</t>
  </si>
  <si>
    <t>Valor unitário</t>
  </si>
  <si>
    <t>dt venda</t>
  </si>
  <si>
    <t>nome vendedor</t>
  </si>
  <si>
    <t>cliente</t>
  </si>
  <si>
    <t>CPF</t>
  </si>
  <si>
    <t>telefone</t>
  </si>
  <si>
    <t>endereco entrega</t>
  </si>
  <si>
    <t>cd prod</t>
  </si>
  <si>
    <t>nm prod</t>
  </si>
  <si>
    <t>unidade</t>
  </si>
  <si>
    <t>vl unitario</t>
  </si>
  <si>
    <t>qt venda</t>
  </si>
  <si>
    <t>valor total item</t>
  </si>
  <si>
    <t>valor total venda</t>
  </si>
  <si>
    <t>3d</t>
  </si>
  <si>
    <t>1d</t>
  </si>
  <si>
    <t>5d</t>
  </si>
  <si>
    <t>7d</t>
  </si>
  <si>
    <t>Maria  Linda</t>
  </si>
  <si>
    <t>Salvio Santos</t>
  </si>
  <si>
    <t>João Carlos</t>
  </si>
  <si>
    <t>Dolores Julio</t>
  </si>
  <si>
    <t>prazo 
entrega</t>
  </si>
  <si>
    <t>Beatriz Souza</t>
  </si>
  <si>
    <t>11 991564433</t>
  </si>
  <si>
    <t>Rua Alegria, 12 Cambuci São Paulo SP</t>
  </si>
  <si>
    <t>Sergio Silva</t>
  </si>
  <si>
    <t>Juca Chaves</t>
  </si>
  <si>
    <t>Adriana Lopes</t>
  </si>
  <si>
    <t>21 945672211</t>
  </si>
  <si>
    <t>13 967552211</t>
  </si>
  <si>
    <t>18 998727788</t>
  </si>
  <si>
    <t>Av Liberdade, 23 Centro São Paulo SP</t>
  </si>
  <si>
    <t>Av Presidente Vargas, 33 Centro Santos SP</t>
  </si>
  <si>
    <t>Av Santos Dumont, 1234 Vila Alegre Campinas  SP</t>
  </si>
  <si>
    <t>cod 
vendedor</t>
  </si>
  <si>
    <t>número
pedido</t>
  </si>
  <si>
    <t>Filho da Fruta</t>
  </si>
  <si>
    <t>Copo 800ml</t>
  </si>
  <si>
    <t>Sr. Ervilho</t>
  </si>
  <si>
    <t>VegNetuno</t>
  </si>
  <si>
    <t>BomDBico</t>
  </si>
  <si>
    <t>Hamburger</t>
  </si>
  <si>
    <t>qtd venda</t>
  </si>
  <si>
    <t>número
pedido (#)</t>
  </si>
  <si>
    <t>cd prod (#)</t>
  </si>
  <si>
    <t>Sigla Estado</t>
  </si>
  <si>
    <t>Nome Estado</t>
  </si>
  <si>
    <t>Nome Cidade</t>
  </si>
  <si>
    <t>Nome Bairro</t>
  </si>
  <si>
    <t>Logradouro</t>
  </si>
  <si>
    <t>numero Logradouro</t>
  </si>
  <si>
    <t>Ponto referência</t>
  </si>
  <si>
    <t>SP</t>
  </si>
  <si>
    <t>São  Paulo</t>
  </si>
  <si>
    <t>São Paulo</t>
  </si>
  <si>
    <t>Cambuci</t>
  </si>
  <si>
    <t>Rua Alegria</t>
  </si>
  <si>
    <t>Centro</t>
  </si>
  <si>
    <t>Av Liberdade</t>
  </si>
  <si>
    <t>Santos</t>
  </si>
  <si>
    <t>Av Presidente  Vargas</t>
  </si>
  <si>
    <t>Campinas</t>
  </si>
  <si>
    <t>Vila Alegre</t>
  </si>
  <si>
    <t>Av Santos Dumont</t>
  </si>
  <si>
    <t/>
  </si>
  <si>
    <t>cod 
cliente</t>
  </si>
  <si>
    <t>PEDIDO DE VENDA KDELIVERY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</si>
</sst>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0" fontId="0" fillId="0" borderId="8" xfId="0" applyBorder="1"/>
    <xf numFmtId="0" fontId="0" fillId="0" borderId="10" xfId="0" applyBorder="1"/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center"/>
    </xf>
    <xf numFmtId="0" fontId="0" fillId="2" borderId="1" xfId="0" applyFill="1" applyBorder="1"/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14" fontId="0" fillId="3" borderId="1" xfId="0" applyNumberFormat="1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14" fontId="0" fillId="4" borderId="1" xfId="0" applyNumberFormat="1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14" fontId="0" fillId="5" borderId="1" xfId="0" applyNumberFormat="1" applyFill="1" applyBorder="1"/>
    <xf numFmtId="0" fontId="0" fillId="5" borderId="1" xfId="0" applyFill="1" applyBorder="1" applyAlignment="1">
      <alignment horizontal="center"/>
    </xf>
    <xf numFmtId="2" fontId="0" fillId="2" borderId="1" xfId="0" applyNumberFormat="1" applyFill="1" applyBorder="1"/>
    <xf numFmtId="2" fontId="0" fillId="4" borderId="1" xfId="0" applyNumberFormat="1" applyFill="1" applyBorder="1"/>
    <xf numFmtId="2" fontId="0" fillId="3" borderId="1" xfId="0" applyNumberFormat="1" applyFill="1" applyBorder="1"/>
    <xf numFmtId="2" fontId="0" fillId="5" borderId="1" xfId="0" applyNumberFormat="1" applyFill="1" applyBorder="1"/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0" xfId="0" quotePrefix="1"/>
    <xf numFmtId="0" fontId="0" fillId="7" borderId="1" xfId="0" applyFill="1" applyBorder="1"/>
    <xf numFmtId="2" fontId="0" fillId="7" borderId="1" xfId="0" applyNumberFormat="1" applyFill="1" applyBorder="1"/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434340</xdr:colOff>
      <xdr:row>3</xdr:row>
      <xdr:rowOff>22859</xdr:rowOff>
    </xdr:from>
    <xdr:to>
      <xdr:col>8</xdr:col>
      <xdr:colOff>708660</xdr:colOff>
      <xdr:row>3</xdr:row>
      <xdr:rowOff>525780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611044-A65E-4555-A94C-EB312B454C91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61760" y="373379"/>
          <a:ext cx="883920" cy="5029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EC4FB-088B-4DF2-8233-16BFCF3ED689}">
  <dimension ref="C2:I18"/>
  <sheetViews>
    <sheetView showGridLines="0" workbookViewId="0">
      <selection activeCell="L10" sqref="L10"/>
    </sheetView>
  </sheetViews>
  <sheetFormatPr defaultRowHeight="14.4" x14ac:dyDescent="0.3"/>
  <cols>
    <col min="3" max="3" width="17.44140625" customWidth="1"/>
    <col min="4" max="4" width="16.109375" bestFit="1" customWidth="1"/>
    <col min="6" max="6" width="17.109375" customWidth="1"/>
    <col min="7" max="7" width="10.5546875" bestFit="1" customWidth="1"/>
    <col min="9" max="9" width="10.5546875" customWidth="1"/>
  </cols>
  <sheetData>
    <row r="2" spans="3:9" ht="13.2" customHeight="1" x14ac:dyDescent="0.3"/>
    <row r="3" spans="3:9" hidden="1" x14ac:dyDescent="0.3"/>
    <row r="4" spans="3:9" ht="42" customHeight="1" x14ac:dyDescent="0.3">
      <c r="C4" s="43" t="s">
        <v>82</v>
      </c>
      <c r="D4" s="44"/>
      <c r="E4" s="44"/>
      <c r="F4" s="44"/>
      <c r="G4" s="44"/>
      <c r="H4" s="44"/>
      <c r="I4" s="45"/>
    </row>
    <row r="5" spans="3:9" ht="28.95" customHeight="1" x14ac:dyDescent="0.3">
      <c r="C5" s="4" t="s">
        <v>0</v>
      </c>
      <c r="D5" s="5"/>
      <c r="E5" s="5"/>
      <c r="F5" s="5" t="s">
        <v>1</v>
      </c>
      <c r="G5" s="5"/>
      <c r="H5" s="5" t="s">
        <v>2</v>
      </c>
      <c r="I5" s="6"/>
    </row>
    <row r="6" spans="3:9" ht="28.2" customHeight="1" x14ac:dyDescent="0.3">
      <c r="C6" s="4" t="s">
        <v>3</v>
      </c>
      <c r="D6" s="5"/>
      <c r="E6" s="5"/>
      <c r="F6" s="5" t="s">
        <v>4</v>
      </c>
      <c r="G6" s="5"/>
      <c r="H6" s="5"/>
      <c r="I6" s="6"/>
    </row>
    <row r="7" spans="3:9" ht="23.4" customHeight="1" x14ac:dyDescent="0.3">
      <c r="C7" s="7" t="s">
        <v>5</v>
      </c>
      <c r="D7" s="8"/>
      <c r="E7" s="8"/>
      <c r="F7" s="8" t="s">
        <v>6</v>
      </c>
      <c r="G7" s="8"/>
      <c r="H7" s="8" t="s">
        <v>8</v>
      </c>
      <c r="I7" s="9"/>
    </row>
    <row r="8" spans="3:9" ht="21.6" customHeight="1" x14ac:dyDescent="0.3">
      <c r="C8" s="10" t="s">
        <v>7</v>
      </c>
      <c r="D8" s="11"/>
      <c r="E8" s="11"/>
      <c r="F8" s="11"/>
      <c r="G8" s="11"/>
      <c r="H8" s="13"/>
      <c r="I8" s="14"/>
    </row>
    <row r="9" spans="3:9" ht="24" customHeight="1" x14ac:dyDescent="0.3">
      <c r="C9" s="12" t="s">
        <v>9</v>
      </c>
      <c r="D9" s="12" t="s">
        <v>11</v>
      </c>
      <c r="E9" s="12" t="s">
        <v>10</v>
      </c>
      <c r="F9" s="12" t="s">
        <v>15</v>
      </c>
      <c r="G9" s="4" t="s">
        <v>12</v>
      </c>
      <c r="H9" s="7" t="s">
        <v>13</v>
      </c>
      <c r="I9" s="9"/>
    </row>
    <row r="10" spans="3:9" ht="22.2" customHeight="1" x14ac:dyDescent="0.3">
      <c r="C10" s="1"/>
      <c r="D10" s="1"/>
      <c r="E10" s="1"/>
      <c r="F10" s="1"/>
      <c r="G10" s="2"/>
      <c r="H10" s="2"/>
      <c r="I10" s="3"/>
    </row>
    <row r="11" spans="3:9" ht="22.2" customHeight="1" x14ac:dyDescent="0.3">
      <c r="C11" s="1"/>
      <c r="D11" s="1"/>
      <c r="E11" s="1"/>
      <c r="F11" s="1"/>
      <c r="G11" s="1"/>
      <c r="H11" s="2"/>
      <c r="I11" s="3"/>
    </row>
    <row r="12" spans="3:9" ht="22.2" customHeight="1" x14ac:dyDescent="0.3">
      <c r="C12" s="1"/>
      <c r="D12" s="1"/>
      <c r="E12" s="1"/>
      <c r="F12" s="1"/>
      <c r="G12" s="1"/>
      <c r="H12" s="2"/>
      <c r="I12" s="3"/>
    </row>
    <row r="13" spans="3:9" ht="22.2" customHeight="1" x14ac:dyDescent="0.3">
      <c r="C13" s="1"/>
      <c r="D13" s="1"/>
      <c r="E13" s="1"/>
      <c r="F13" s="1"/>
      <c r="G13" s="1"/>
      <c r="H13" s="2"/>
      <c r="I13" s="3"/>
    </row>
    <row r="14" spans="3:9" ht="22.2" customHeight="1" x14ac:dyDescent="0.3">
      <c r="C14" s="1"/>
      <c r="D14" s="1"/>
      <c r="E14" s="1"/>
      <c r="F14" s="1"/>
      <c r="G14" s="1"/>
      <c r="H14" s="2"/>
      <c r="I14" s="3"/>
    </row>
    <row r="15" spans="3:9" ht="22.2" customHeight="1" x14ac:dyDescent="0.3">
      <c r="C15" s="1"/>
      <c r="D15" s="1"/>
      <c r="E15" s="1"/>
      <c r="F15" s="1"/>
      <c r="G15" s="1"/>
      <c r="H15" s="2"/>
      <c r="I15" s="3"/>
    </row>
    <row r="16" spans="3:9" ht="22.2" customHeight="1" x14ac:dyDescent="0.3">
      <c r="C16" s="1"/>
      <c r="D16" s="1"/>
      <c r="E16" s="1"/>
      <c r="F16" s="1"/>
      <c r="G16" s="1"/>
      <c r="H16" s="2"/>
      <c r="I16" s="3"/>
    </row>
    <row r="17" spans="3:9" ht="22.2" customHeight="1" x14ac:dyDescent="0.3">
      <c r="C17" s="1"/>
      <c r="D17" s="1"/>
      <c r="E17" s="1"/>
      <c r="F17" s="1"/>
      <c r="G17" s="1"/>
      <c r="H17" s="2"/>
      <c r="I17" s="3"/>
    </row>
    <row r="18" spans="3:9" s="13" customFormat="1" ht="21" customHeight="1" x14ac:dyDescent="0.3">
      <c r="F18" s="12" t="s">
        <v>14</v>
      </c>
      <c r="G18" s="4"/>
      <c r="H18" s="5"/>
      <c r="I18" s="6"/>
    </row>
  </sheetData>
  <mergeCells count="1">
    <mergeCell ref="C4:I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9D7D7-72D8-44EF-B412-5EC787FA9562}">
  <dimension ref="B3:Q18"/>
  <sheetViews>
    <sheetView showGridLines="0" zoomScaleNormal="100" workbookViewId="0">
      <selection activeCell="Q12" sqref="B3:Q12"/>
    </sheetView>
  </sheetViews>
  <sheetFormatPr defaultRowHeight="14.4" x14ac:dyDescent="0.3"/>
  <cols>
    <col min="1" max="1" width="1.5546875" customWidth="1"/>
    <col min="2" max="2" width="7.6640625" customWidth="1"/>
    <col min="3" max="3" width="12.109375" customWidth="1"/>
    <col min="4" max="4" width="7.33203125" style="15" bestFit="1" customWidth="1"/>
    <col min="5" max="5" width="9.6640625" customWidth="1"/>
    <col min="6" max="6" width="13.88671875" bestFit="1" customWidth="1"/>
    <col min="7" max="7" width="13" customWidth="1"/>
    <col min="8" max="8" width="13.88671875" customWidth="1"/>
    <col min="9" max="9" width="12.44140625" bestFit="1" customWidth="1"/>
    <col min="10" max="10" width="41" customWidth="1"/>
    <col min="12" max="12" width="15.33203125" customWidth="1"/>
    <col min="13" max="13" width="10.6640625" bestFit="1" customWidth="1"/>
    <col min="15" max="15" width="8.88671875" style="15" customWidth="1"/>
    <col min="16" max="16" width="13.6640625" customWidth="1"/>
    <col min="17" max="17" width="14.88671875" customWidth="1"/>
  </cols>
  <sheetData>
    <row r="3" spans="2:17" ht="28.8" x14ac:dyDescent="0.3">
      <c r="B3" s="32" t="s">
        <v>51</v>
      </c>
      <c r="C3" s="33" t="s">
        <v>16</v>
      </c>
      <c r="D3" s="34" t="s">
        <v>37</v>
      </c>
      <c r="E3" s="32" t="s">
        <v>50</v>
      </c>
      <c r="F3" s="33" t="s">
        <v>17</v>
      </c>
      <c r="G3" s="33" t="s">
        <v>18</v>
      </c>
      <c r="H3" s="33" t="s">
        <v>19</v>
      </c>
      <c r="I3" s="33" t="s">
        <v>20</v>
      </c>
      <c r="J3" s="33" t="s">
        <v>21</v>
      </c>
      <c r="K3" s="33" t="s">
        <v>22</v>
      </c>
      <c r="L3" s="33" t="s">
        <v>23</v>
      </c>
      <c r="M3" s="33" t="s">
        <v>24</v>
      </c>
      <c r="N3" s="33" t="s">
        <v>25</v>
      </c>
      <c r="O3" s="35" t="s">
        <v>26</v>
      </c>
      <c r="P3" s="33" t="s">
        <v>27</v>
      </c>
      <c r="Q3" s="33" t="s">
        <v>28</v>
      </c>
    </row>
    <row r="4" spans="2:17" x14ac:dyDescent="0.3">
      <c r="B4" s="16">
        <v>11</v>
      </c>
      <c r="C4" s="17">
        <v>44699</v>
      </c>
      <c r="D4" s="18" t="s">
        <v>29</v>
      </c>
      <c r="E4" s="16">
        <v>15</v>
      </c>
      <c r="F4" s="16" t="s">
        <v>33</v>
      </c>
      <c r="G4" s="16" t="s">
        <v>38</v>
      </c>
      <c r="H4" s="16">
        <v>9308456788</v>
      </c>
      <c r="I4" s="16" t="s">
        <v>39</v>
      </c>
      <c r="J4" s="16" t="s">
        <v>40</v>
      </c>
      <c r="K4" s="16">
        <v>89812</v>
      </c>
      <c r="L4" s="16" t="s">
        <v>52</v>
      </c>
      <c r="M4" s="16" t="s">
        <v>53</v>
      </c>
      <c r="N4" s="28">
        <v>12</v>
      </c>
      <c r="O4" s="18">
        <v>2</v>
      </c>
      <c r="P4" s="28">
        <f>N4*O4</f>
        <v>24</v>
      </c>
      <c r="Q4" s="28">
        <v>110</v>
      </c>
    </row>
    <row r="5" spans="2:17" x14ac:dyDescent="0.3">
      <c r="B5" s="16">
        <v>11</v>
      </c>
      <c r="C5" s="17">
        <v>44699</v>
      </c>
      <c r="D5" s="18" t="s">
        <v>29</v>
      </c>
      <c r="E5" s="16">
        <v>15</v>
      </c>
      <c r="F5" s="16" t="s">
        <v>33</v>
      </c>
      <c r="G5" s="16" t="s">
        <v>38</v>
      </c>
      <c r="H5" s="16">
        <v>9308456788</v>
      </c>
      <c r="I5" s="16" t="s">
        <v>39</v>
      </c>
      <c r="J5" s="16" t="s">
        <v>40</v>
      </c>
      <c r="K5" s="16">
        <v>76532</v>
      </c>
      <c r="L5" s="16" t="s">
        <v>56</v>
      </c>
      <c r="M5" s="16" t="s">
        <v>57</v>
      </c>
      <c r="N5" s="28">
        <v>25</v>
      </c>
      <c r="O5" s="18">
        <v>2</v>
      </c>
      <c r="P5" s="28">
        <f t="shared" ref="P5:P12" si="0">N5*O5</f>
        <v>50</v>
      </c>
      <c r="Q5" s="28">
        <v>110</v>
      </c>
    </row>
    <row r="6" spans="2:17" x14ac:dyDescent="0.3">
      <c r="B6" s="16">
        <v>11</v>
      </c>
      <c r="C6" s="17">
        <v>44699</v>
      </c>
      <c r="D6" s="18" t="s">
        <v>29</v>
      </c>
      <c r="E6" s="16">
        <v>15</v>
      </c>
      <c r="F6" s="16" t="s">
        <v>33</v>
      </c>
      <c r="G6" s="16" t="s">
        <v>38</v>
      </c>
      <c r="H6" s="16">
        <v>9308456788</v>
      </c>
      <c r="I6" s="16" t="s">
        <v>39</v>
      </c>
      <c r="J6" s="16" t="s">
        <v>40</v>
      </c>
      <c r="K6" s="16">
        <v>34213</v>
      </c>
      <c r="L6" s="16" t="s">
        <v>54</v>
      </c>
      <c r="M6" s="16" t="s">
        <v>57</v>
      </c>
      <c r="N6" s="28">
        <v>18</v>
      </c>
      <c r="O6" s="18">
        <v>2</v>
      </c>
      <c r="P6" s="28">
        <f t="shared" si="0"/>
        <v>36</v>
      </c>
      <c r="Q6" s="28">
        <v>110</v>
      </c>
    </row>
    <row r="7" spans="2:17" x14ac:dyDescent="0.3">
      <c r="B7" s="22">
        <v>33</v>
      </c>
      <c r="C7" s="23">
        <v>44703</v>
      </c>
      <c r="D7" s="24" t="s">
        <v>30</v>
      </c>
      <c r="E7" s="22">
        <v>21</v>
      </c>
      <c r="F7" s="22" t="s">
        <v>35</v>
      </c>
      <c r="G7" s="22" t="s">
        <v>41</v>
      </c>
      <c r="H7" s="22">
        <v>5432176542</v>
      </c>
      <c r="I7" s="22" t="s">
        <v>44</v>
      </c>
      <c r="J7" s="22" t="s">
        <v>47</v>
      </c>
      <c r="K7" s="22">
        <v>89812</v>
      </c>
      <c r="L7" s="22" t="s">
        <v>52</v>
      </c>
      <c r="M7" s="22" t="s">
        <v>53</v>
      </c>
      <c r="N7" s="29">
        <v>12</v>
      </c>
      <c r="O7" s="24">
        <v>1</v>
      </c>
      <c r="P7" s="29">
        <f t="shared" si="0"/>
        <v>12</v>
      </c>
      <c r="Q7" s="29">
        <v>12</v>
      </c>
    </row>
    <row r="8" spans="2:17" x14ac:dyDescent="0.3">
      <c r="B8" s="19">
        <v>65</v>
      </c>
      <c r="C8" s="20">
        <v>44706</v>
      </c>
      <c r="D8" s="21" t="s">
        <v>31</v>
      </c>
      <c r="E8" s="19">
        <v>15</v>
      </c>
      <c r="F8" s="19" t="s">
        <v>36</v>
      </c>
      <c r="G8" s="19" t="s">
        <v>42</v>
      </c>
      <c r="H8" s="19">
        <v>12034567890</v>
      </c>
      <c r="I8" s="19" t="s">
        <v>45</v>
      </c>
      <c r="J8" s="19" t="s">
        <v>48</v>
      </c>
      <c r="K8" s="19">
        <v>76532</v>
      </c>
      <c r="L8" s="19" t="s">
        <v>56</v>
      </c>
      <c r="M8" s="19" t="s">
        <v>57</v>
      </c>
      <c r="N8" s="30">
        <v>25</v>
      </c>
      <c r="O8" s="21">
        <v>3</v>
      </c>
      <c r="P8" s="30">
        <f t="shared" si="0"/>
        <v>75</v>
      </c>
      <c r="Q8" s="30">
        <v>135</v>
      </c>
    </row>
    <row r="9" spans="2:17" x14ac:dyDescent="0.3">
      <c r="B9" s="19">
        <v>65</v>
      </c>
      <c r="C9" s="20">
        <v>44706</v>
      </c>
      <c r="D9" s="21" t="s">
        <v>31</v>
      </c>
      <c r="E9" s="19">
        <v>15</v>
      </c>
      <c r="F9" s="19" t="s">
        <v>36</v>
      </c>
      <c r="G9" s="19" t="s">
        <v>42</v>
      </c>
      <c r="H9" s="19">
        <v>12034567890</v>
      </c>
      <c r="I9" s="19" t="s">
        <v>45</v>
      </c>
      <c r="J9" s="19" t="s">
        <v>48</v>
      </c>
      <c r="K9" s="19">
        <v>65233</v>
      </c>
      <c r="L9" s="19" t="s">
        <v>55</v>
      </c>
      <c r="M9" s="19" t="s">
        <v>57</v>
      </c>
      <c r="N9" s="30">
        <v>30</v>
      </c>
      <c r="O9" s="21">
        <v>2</v>
      </c>
      <c r="P9" s="30">
        <f t="shared" si="0"/>
        <v>60</v>
      </c>
      <c r="Q9" s="30">
        <v>135</v>
      </c>
    </row>
    <row r="10" spans="2:17" x14ac:dyDescent="0.3">
      <c r="B10" s="25">
        <v>78</v>
      </c>
      <c r="C10" s="26">
        <v>44709</v>
      </c>
      <c r="D10" s="27" t="s">
        <v>32</v>
      </c>
      <c r="E10" s="25">
        <v>43</v>
      </c>
      <c r="F10" s="25" t="s">
        <v>34</v>
      </c>
      <c r="G10" s="25" t="s">
        <v>43</v>
      </c>
      <c r="H10" s="25">
        <v>13020265422</v>
      </c>
      <c r="I10" s="25" t="s">
        <v>46</v>
      </c>
      <c r="J10" s="25" t="s">
        <v>49</v>
      </c>
      <c r="K10" s="25">
        <v>89912</v>
      </c>
      <c r="L10" s="25" t="s">
        <v>52</v>
      </c>
      <c r="M10" s="25" t="s">
        <v>53</v>
      </c>
      <c r="N10" s="31">
        <v>12</v>
      </c>
      <c r="O10" s="27">
        <v>1</v>
      </c>
      <c r="P10" s="31">
        <f t="shared" si="0"/>
        <v>12</v>
      </c>
      <c r="Q10" s="31">
        <v>210</v>
      </c>
    </row>
    <row r="11" spans="2:17" x14ac:dyDescent="0.3">
      <c r="B11" s="25">
        <v>78</v>
      </c>
      <c r="C11" s="26">
        <v>44709</v>
      </c>
      <c r="D11" s="27" t="s">
        <v>32</v>
      </c>
      <c r="E11" s="25">
        <v>43</v>
      </c>
      <c r="F11" s="25" t="s">
        <v>34</v>
      </c>
      <c r="G11" s="25" t="s">
        <v>43</v>
      </c>
      <c r="H11" s="25">
        <v>13020265422</v>
      </c>
      <c r="I11" s="25" t="s">
        <v>46</v>
      </c>
      <c r="J11" s="25" t="s">
        <v>49</v>
      </c>
      <c r="K11" s="25">
        <v>65233</v>
      </c>
      <c r="L11" s="25" t="s">
        <v>55</v>
      </c>
      <c r="M11" s="25" t="s">
        <v>57</v>
      </c>
      <c r="N11" s="31">
        <v>30</v>
      </c>
      <c r="O11" s="27">
        <v>6</v>
      </c>
      <c r="P11" s="31">
        <f t="shared" si="0"/>
        <v>180</v>
      </c>
      <c r="Q11" s="31">
        <v>210</v>
      </c>
    </row>
    <row r="12" spans="2:17" x14ac:dyDescent="0.3">
      <c r="B12" s="25">
        <v>78</v>
      </c>
      <c r="C12" s="26">
        <v>44709</v>
      </c>
      <c r="D12" s="27" t="s">
        <v>32</v>
      </c>
      <c r="E12" s="25">
        <v>43</v>
      </c>
      <c r="F12" s="25" t="s">
        <v>34</v>
      </c>
      <c r="G12" s="25" t="s">
        <v>43</v>
      </c>
      <c r="H12" s="25">
        <v>13020265422</v>
      </c>
      <c r="I12" s="25" t="s">
        <v>46</v>
      </c>
      <c r="J12" s="25" t="s">
        <v>49</v>
      </c>
      <c r="K12" s="25">
        <v>34213</v>
      </c>
      <c r="L12" s="25" t="s">
        <v>54</v>
      </c>
      <c r="M12" s="25" t="s">
        <v>57</v>
      </c>
      <c r="N12" s="31">
        <v>18</v>
      </c>
      <c r="O12" s="27">
        <v>1</v>
      </c>
      <c r="P12" s="31">
        <f t="shared" si="0"/>
        <v>18</v>
      </c>
      <c r="Q12" s="31">
        <v>210</v>
      </c>
    </row>
    <row r="18" spans="9:9" x14ac:dyDescent="0.3">
      <c r="I18" s="40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CFA48-B7B4-42E5-93DA-12D3114EB1D9}">
  <dimension ref="B3:K32"/>
  <sheetViews>
    <sheetView showGridLines="0" zoomScale="85" zoomScaleNormal="85" workbookViewId="0">
      <selection activeCell="C10" sqref="C10:I19"/>
    </sheetView>
  </sheetViews>
  <sheetFormatPr defaultRowHeight="14.4" x14ac:dyDescent="0.3"/>
  <cols>
    <col min="1" max="1" width="1.5546875" customWidth="1"/>
    <col min="2" max="2" width="7.6640625" customWidth="1"/>
    <col min="3" max="3" width="10.5546875" bestFit="1" customWidth="1"/>
    <col min="4" max="4" width="12" style="15" bestFit="1" customWidth="1"/>
    <col min="5" max="5" width="10.6640625" bestFit="1" customWidth="1"/>
    <col min="6" max="6" width="13.88671875" bestFit="1" customWidth="1"/>
    <col min="7" max="7" width="13" customWidth="1"/>
    <col min="8" max="8" width="12" bestFit="1" customWidth="1"/>
    <col min="9" max="9" width="12.44140625" bestFit="1" customWidth="1"/>
    <col min="10" max="10" width="41" customWidth="1"/>
    <col min="11" max="11" width="9.6640625" customWidth="1"/>
    <col min="15" max="15" width="20.6640625" customWidth="1"/>
    <col min="16" max="16" width="18.33203125" customWidth="1"/>
    <col min="17" max="17" width="18.77734375" customWidth="1"/>
  </cols>
  <sheetData>
    <row r="3" spans="2:11" ht="28.8" x14ac:dyDescent="0.3">
      <c r="B3" s="32" t="s">
        <v>51</v>
      </c>
      <c r="C3" s="33" t="s">
        <v>16</v>
      </c>
      <c r="D3" s="34" t="s">
        <v>37</v>
      </c>
      <c r="E3" s="32" t="s">
        <v>50</v>
      </c>
      <c r="F3" s="33" t="s">
        <v>17</v>
      </c>
      <c r="G3" s="33" t="s">
        <v>18</v>
      </c>
      <c r="H3" s="33" t="s">
        <v>19</v>
      </c>
      <c r="I3" s="33" t="s">
        <v>20</v>
      </c>
      <c r="J3" s="33" t="s">
        <v>21</v>
      </c>
      <c r="K3" s="32" t="s">
        <v>28</v>
      </c>
    </row>
    <row r="4" spans="2:11" x14ac:dyDescent="0.3">
      <c r="B4" s="16">
        <v>11</v>
      </c>
      <c r="C4" s="17">
        <v>44699</v>
      </c>
      <c r="D4" s="18" t="s">
        <v>29</v>
      </c>
      <c r="E4" s="16">
        <v>15</v>
      </c>
      <c r="F4" s="16" t="s">
        <v>33</v>
      </c>
      <c r="G4" s="16" t="s">
        <v>38</v>
      </c>
      <c r="H4" s="16">
        <v>9308456788</v>
      </c>
      <c r="I4" s="16" t="s">
        <v>39</v>
      </c>
      <c r="J4" s="16" t="s">
        <v>40</v>
      </c>
      <c r="K4" s="28">
        <v>110</v>
      </c>
    </row>
    <row r="5" spans="2:11" x14ac:dyDescent="0.3">
      <c r="B5" s="22">
        <v>33</v>
      </c>
      <c r="C5" s="23">
        <v>44703</v>
      </c>
      <c r="D5" s="24" t="s">
        <v>30</v>
      </c>
      <c r="E5" s="22">
        <v>21</v>
      </c>
      <c r="F5" s="22" t="s">
        <v>35</v>
      </c>
      <c r="G5" s="22" t="s">
        <v>41</v>
      </c>
      <c r="H5" s="22">
        <v>5432176542</v>
      </c>
      <c r="I5" s="22" t="s">
        <v>44</v>
      </c>
      <c r="J5" s="22" t="s">
        <v>47</v>
      </c>
      <c r="K5" s="29">
        <v>12</v>
      </c>
    </row>
    <row r="6" spans="2:11" x14ac:dyDescent="0.3">
      <c r="B6" s="19">
        <v>65</v>
      </c>
      <c r="C6" s="20">
        <v>44706</v>
      </c>
      <c r="D6" s="21" t="s">
        <v>31</v>
      </c>
      <c r="E6" s="19">
        <v>15</v>
      </c>
      <c r="F6" s="19" t="s">
        <v>36</v>
      </c>
      <c r="G6" s="19" t="s">
        <v>42</v>
      </c>
      <c r="H6" s="19">
        <v>12034567890</v>
      </c>
      <c r="I6" s="19" t="s">
        <v>45</v>
      </c>
      <c r="J6" s="19" t="s">
        <v>48</v>
      </c>
      <c r="K6" s="30">
        <v>135</v>
      </c>
    </row>
    <row r="7" spans="2:11" x14ac:dyDescent="0.3">
      <c r="B7" s="25">
        <v>78</v>
      </c>
      <c r="C7" s="26">
        <v>44709</v>
      </c>
      <c r="D7" s="27" t="s">
        <v>32</v>
      </c>
      <c r="E7" s="25">
        <v>43</v>
      </c>
      <c r="F7" s="25" t="s">
        <v>34</v>
      </c>
      <c r="G7" s="25" t="s">
        <v>43</v>
      </c>
      <c r="H7" s="25">
        <v>13020265422</v>
      </c>
      <c r="I7" s="25" t="s">
        <v>46</v>
      </c>
      <c r="J7" s="25" t="s">
        <v>49</v>
      </c>
      <c r="K7" s="31">
        <v>210</v>
      </c>
    </row>
    <row r="8" spans="2:11" ht="17.25" customHeight="1" x14ac:dyDescent="0.3"/>
    <row r="10" spans="2:11" ht="28.8" x14ac:dyDescent="0.3">
      <c r="C10" s="32" t="s">
        <v>51</v>
      </c>
      <c r="D10" s="33" t="s">
        <v>22</v>
      </c>
      <c r="E10" s="33" t="s">
        <v>23</v>
      </c>
      <c r="F10" s="33" t="s">
        <v>24</v>
      </c>
      <c r="G10" s="33" t="s">
        <v>25</v>
      </c>
      <c r="H10" s="34" t="s">
        <v>58</v>
      </c>
      <c r="I10" s="32" t="s">
        <v>27</v>
      </c>
    </row>
    <row r="11" spans="2:11" x14ac:dyDescent="0.3">
      <c r="C11" s="36">
        <v>11</v>
      </c>
      <c r="D11" s="16">
        <v>89812</v>
      </c>
      <c r="E11" s="16" t="s">
        <v>52</v>
      </c>
      <c r="F11" s="16" t="s">
        <v>53</v>
      </c>
      <c r="G11" s="28">
        <v>12</v>
      </c>
      <c r="H11" s="18">
        <v>2</v>
      </c>
      <c r="I11" s="28">
        <f>G11*H11</f>
        <v>24</v>
      </c>
    </row>
    <row r="12" spans="2:11" x14ac:dyDescent="0.3">
      <c r="C12" s="36">
        <v>11</v>
      </c>
      <c r="D12" s="16">
        <v>76532</v>
      </c>
      <c r="E12" s="16" t="s">
        <v>56</v>
      </c>
      <c r="F12" s="16" t="s">
        <v>57</v>
      </c>
      <c r="G12" s="28">
        <v>25</v>
      </c>
      <c r="H12" s="18">
        <v>2</v>
      </c>
      <c r="I12" s="28">
        <f t="shared" ref="I12:I19" si="0">G12*H12</f>
        <v>50</v>
      </c>
    </row>
    <row r="13" spans="2:11" x14ac:dyDescent="0.3">
      <c r="C13" s="36">
        <v>11</v>
      </c>
      <c r="D13" s="16">
        <v>34213</v>
      </c>
      <c r="E13" s="16" t="s">
        <v>54</v>
      </c>
      <c r="F13" s="16" t="s">
        <v>57</v>
      </c>
      <c r="G13" s="28">
        <v>18</v>
      </c>
      <c r="H13" s="18">
        <v>2</v>
      </c>
      <c r="I13" s="28">
        <f t="shared" si="0"/>
        <v>36</v>
      </c>
    </row>
    <row r="14" spans="2:11" x14ac:dyDescent="0.3">
      <c r="C14" s="37">
        <v>33</v>
      </c>
      <c r="D14" s="22">
        <v>89812</v>
      </c>
      <c r="E14" s="22" t="s">
        <v>52</v>
      </c>
      <c r="F14" s="22" t="s">
        <v>53</v>
      </c>
      <c r="G14" s="29">
        <v>12</v>
      </c>
      <c r="H14" s="24">
        <v>1</v>
      </c>
      <c r="I14" s="29">
        <f t="shared" si="0"/>
        <v>12</v>
      </c>
    </row>
    <row r="15" spans="2:11" x14ac:dyDescent="0.3">
      <c r="C15" s="38">
        <v>65</v>
      </c>
      <c r="D15" s="19">
        <v>76532</v>
      </c>
      <c r="E15" s="19" t="s">
        <v>56</v>
      </c>
      <c r="F15" s="19" t="s">
        <v>57</v>
      </c>
      <c r="G15" s="30">
        <v>25</v>
      </c>
      <c r="H15" s="21">
        <v>3</v>
      </c>
      <c r="I15" s="30">
        <f t="shared" si="0"/>
        <v>75</v>
      </c>
    </row>
    <row r="16" spans="2:11" x14ac:dyDescent="0.3">
      <c r="C16" s="38">
        <v>65</v>
      </c>
      <c r="D16" s="19">
        <v>65233</v>
      </c>
      <c r="E16" s="19" t="s">
        <v>55</v>
      </c>
      <c r="F16" s="19" t="s">
        <v>57</v>
      </c>
      <c r="G16" s="30">
        <v>30</v>
      </c>
      <c r="H16" s="21">
        <v>2</v>
      </c>
      <c r="I16" s="30">
        <f t="shared" si="0"/>
        <v>60</v>
      </c>
    </row>
    <row r="17" spans="3:9" x14ac:dyDescent="0.3">
      <c r="C17" s="39">
        <v>78</v>
      </c>
      <c r="D17" s="25">
        <v>89912</v>
      </c>
      <c r="E17" s="25" t="s">
        <v>52</v>
      </c>
      <c r="F17" s="25" t="s">
        <v>53</v>
      </c>
      <c r="G17" s="31">
        <v>12</v>
      </c>
      <c r="H17" s="27">
        <v>1</v>
      </c>
      <c r="I17" s="31">
        <f t="shared" si="0"/>
        <v>12</v>
      </c>
    </row>
    <row r="18" spans="3:9" x14ac:dyDescent="0.3">
      <c r="C18" s="39">
        <v>78</v>
      </c>
      <c r="D18" s="25">
        <v>65233</v>
      </c>
      <c r="E18" s="25" t="s">
        <v>55</v>
      </c>
      <c r="F18" s="25" t="s">
        <v>57</v>
      </c>
      <c r="G18" s="31">
        <v>30</v>
      </c>
      <c r="H18" s="27">
        <v>6</v>
      </c>
      <c r="I18" s="31">
        <f t="shared" si="0"/>
        <v>180</v>
      </c>
    </row>
    <row r="19" spans="3:9" x14ac:dyDescent="0.3">
      <c r="C19" s="39">
        <v>78</v>
      </c>
      <c r="D19" s="25">
        <v>34213</v>
      </c>
      <c r="E19" s="25" t="s">
        <v>54</v>
      </c>
      <c r="F19" s="25" t="s">
        <v>57</v>
      </c>
      <c r="G19" s="31">
        <v>18</v>
      </c>
      <c r="H19" s="27">
        <v>1</v>
      </c>
      <c r="I19" s="31">
        <f t="shared" si="0"/>
        <v>18</v>
      </c>
    </row>
    <row r="21" spans="3:9" x14ac:dyDescent="0.3">
      <c r="D21"/>
    </row>
    <row r="22" spans="3:9" x14ac:dyDescent="0.3">
      <c r="D22"/>
    </row>
    <row r="23" spans="3:9" x14ac:dyDescent="0.3">
      <c r="D23"/>
    </row>
    <row r="24" spans="3:9" x14ac:dyDescent="0.3">
      <c r="D24"/>
    </row>
    <row r="25" spans="3:9" x14ac:dyDescent="0.3">
      <c r="D25"/>
    </row>
    <row r="26" spans="3:9" x14ac:dyDescent="0.3">
      <c r="D26"/>
    </row>
    <row r="27" spans="3:9" x14ac:dyDescent="0.3">
      <c r="D27"/>
    </row>
    <row r="28" spans="3:9" x14ac:dyDescent="0.3">
      <c r="D28"/>
    </row>
    <row r="29" spans="3:9" x14ac:dyDescent="0.3">
      <c r="D29"/>
    </row>
    <row r="30" spans="3:9" x14ac:dyDescent="0.3">
      <c r="D30"/>
    </row>
    <row r="31" spans="3:9" x14ac:dyDescent="0.3">
      <c r="D31"/>
    </row>
    <row r="32" spans="3:9" x14ac:dyDescent="0.3">
      <c r="D3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25352-371A-43DF-9764-F93F291B381E}">
  <dimension ref="B3:K24"/>
  <sheetViews>
    <sheetView showGridLines="0" zoomScale="85" zoomScaleNormal="85" workbookViewId="0">
      <selection activeCell="C16" sqref="C15:E16"/>
    </sheetView>
  </sheetViews>
  <sheetFormatPr defaultRowHeight="14.4" x14ac:dyDescent="0.3"/>
  <cols>
    <col min="1" max="1" width="1.5546875" customWidth="1"/>
    <col min="2" max="2" width="10.6640625" customWidth="1"/>
    <col min="3" max="3" width="16.5546875" customWidth="1"/>
    <col min="4" max="4" width="12" style="15" bestFit="1" customWidth="1"/>
    <col min="5" max="5" width="10.6640625" bestFit="1" customWidth="1"/>
    <col min="6" max="6" width="13.88671875" bestFit="1" customWidth="1"/>
    <col min="7" max="7" width="13" customWidth="1"/>
    <col min="8" max="8" width="12" bestFit="1" customWidth="1"/>
    <col min="9" max="9" width="12.44140625" bestFit="1" customWidth="1"/>
    <col min="10" max="10" width="41" customWidth="1"/>
    <col min="11" max="11" width="9.6640625" customWidth="1"/>
  </cols>
  <sheetData>
    <row r="3" spans="2:11" ht="28.8" x14ac:dyDescent="0.3">
      <c r="B3" s="32" t="s">
        <v>51</v>
      </c>
      <c r="C3" s="33" t="s">
        <v>16</v>
      </c>
      <c r="D3" s="34" t="s">
        <v>37</v>
      </c>
      <c r="E3" s="32" t="s">
        <v>50</v>
      </c>
      <c r="F3" s="33" t="s">
        <v>17</v>
      </c>
      <c r="G3" s="33" t="s">
        <v>18</v>
      </c>
      <c r="H3" s="33" t="s">
        <v>19</v>
      </c>
      <c r="I3" s="33" t="s">
        <v>20</v>
      </c>
      <c r="J3" s="33" t="s">
        <v>21</v>
      </c>
      <c r="K3" s="32" t="s">
        <v>28</v>
      </c>
    </row>
    <row r="4" spans="2:11" x14ac:dyDescent="0.3">
      <c r="B4" s="16">
        <v>11</v>
      </c>
      <c r="C4" s="17">
        <v>44699</v>
      </c>
      <c r="D4" s="18" t="s">
        <v>29</v>
      </c>
      <c r="E4" s="16">
        <v>15</v>
      </c>
      <c r="F4" s="16" t="s">
        <v>33</v>
      </c>
      <c r="G4" s="16" t="s">
        <v>38</v>
      </c>
      <c r="H4" s="16">
        <v>9308456788</v>
      </c>
      <c r="I4" s="16" t="s">
        <v>39</v>
      </c>
      <c r="J4" s="16" t="s">
        <v>40</v>
      </c>
      <c r="K4" s="28">
        <v>110</v>
      </c>
    </row>
    <row r="5" spans="2:11" x14ac:dyDescent="0.3">
      <c r="B5" s="22">
        <v>33</v>
      </c>
      <c r="C5" s="23">
        <v>44703</v>
      </c>
      <c r="D5" s="24" t="s">
        <v>30</v>
      </c>
      <c r="E5" s="22">
        <v>21</v>
      </c>
      <c r="F5" s="22" t="s">
        <v>35</v>
      </c>
      <c r="G5" s="22" t="s">
        <v>41</v>
      </c>
      <c r="H5" s="22">
        <v>5432176542</v>
      </c>
      <c r="I5" s="22" t="s">
        <v>44</v>
      </c>
      <c r="J5" s="22" t="s">
        <v>47</v>
      </c>
      <c r="K5" s="29">
        <v>12</v>
      </c>
    </row>
    <row r="6" spans="2:11" x14ac:dyDescent="0.3">
      <c r="B6" s="19">
        <v>65</v>
      </c>
      <c r="C6" s="20">
        <v>44706</v>
      </c>
      <c r="D6" s="21" t="s">
        <v>31</v>
      </c>
      <c r="E6" s="19">
        <v>15</v>
      </c>
      <c r="F6" s="19" t="s">
        <v>36</v>
      </c>
      <c r="G6" s="19" t="s">
        <v>42</v>
      </c>
      <c r="H6" s="19">
        <v>12034567890</v>
      </c>
      <c r="I6" s="19" t="s">
        <v>45</v>
      </c>
      <c r="J6" s="19" t="s">
        <v>48</v>
      </c>
      <c r="K6" s="30">
        <v>135</v>
      </c>
    </row>
    <row r="7" spans="2:11" x14ac:dyDescent="0.3">
      <c r="B7" s="25">
        <v>78</v>
      </c>
      <c r="C7" s="26">
        <v>44709</v>
      </c>
      <c r="D7" s="27" t="s">
        <v>32</v>
      </c>
      <c r="E7" s="25">
        <v>43</v>
      </c>
      <c r="F7" s="25" t="s">
        <v>34</v>
      </c>
      <c r="G7" s="25" t="s">
        <v>43</v>
      </c>
      <c r="H7" s="25">
        <v>13020265422</v>
      </c>
      <c r="I7" s="25" t="s">
        <v>46</v>
      </c>
      <c r="J7" s="25" t="s">
        <v>49</v>
      </c>
      <c r="K7" s="31">
        <v>210</v>
      </c>
    </row>
    <row r="8" spans="2:11" ht="6" customHeight="1" x14ac:dyDescent="0.3"/>
    <row r="9" spans="2:11" ht="28.8" x14ac:dyDescent="0.3">
      <c r="B9" s="32" t="s">
        <v>59</v>
      </c>
      <c r="C9" s="33" t="s">
        <v>60</v>
      </c>
      <c r="D9" s="34" t="s">
        <v>58</v>
      </c>
      <c r="E9" s="32" t="s">
        <v>27</v>
      </c>
    </row>
    <row r="10" spans="2:11" x14ac:dyDescent="0.3">
      <c r="B10" s="36">
        <v>11</v>
      </c>
      <c r="C10" s="16">
        <v>89812</v>
      </c>
      <c r="D10" s="18">
        <v>2</v>
      </c>
      <c r="E10" s="28">
        <f>E24*D10</f>
        <v>24</v>
      </c>
    </row>
    <row r="11" spans="2:11" x14ac:dyDescent="0.3">
      <c r="B11" s="36">
        <v>11</v>
      </c>
      <c r="C11" s="16">
        <v>76532</v>
      </c>
      <c r="D11" s="18">
        <v>2</v>
      </c>
      <c r="E11" s="28">
        <f>E23*D11</f>
        <v>50</v>
      </c>
    </row>
    <row r="12" spans="2:11" x14ac:dyDescent="0.3">
      <c r="B12" s="36">
        <v>11</v>
      </c>
      <c r="C12" s="16">
        <v>34213</v>
      </c>
      <c r="D12" s="18">
        <v>2</v>
      </c>
      <c r="E12" s="28">
        <f>E21*D12</f>
        <v>36</v>
      </c>
    </row>
    <row r="13" spans="2:11" x14ac:dyDescent="0.3">
      <c r="B13" s="37">
        <v>33</v>
      </c>
      <c r="C13" s="22">
        <v>89812</v>
      </c>
      <c r="D13" s="24">
        <v>1</v>
      </c>
      <c r="E13" s="29">
        <f>E24*D13</f>
        <v>12</v>
      </c>
    </row>
    <row r="14" spans="2:11" x14ac:dyDescent="0.3">
      <c r="B14" s="38">
        <v>65</v>
      </c>
      <c r="C14" s="19">
        <v>76532</v>
      </c>
      <c r="D14" s="21">
        <v>3</v>
      </c>
      <c r="E14" s="30">
        <f>E23*D14</f>
        <v>75</v>
      </c>
    </row>
    <row r="15" spans="2:11" x14ac:dyDescent="0.3">
      <c r="B15" s="38">
        <v>65</v>
      </c>
      <c r="C15" s="19">
        <v>65233</v>
      </c>
      <c r="D15" s="21">
        <v>2</v>
      </c>
      <c r="E15" s="30">
        <f>E23*D15</f>
        <v>50</v>
      </c>
    </row>
    <row r="16" spans="2:11" x14ac:dyDescent="0.3">
      <c r="B16" s="39">
        <v>78</v>
      </c>
      <c r="C16" s="25">
        <v>89912</v>
      </c>
      <c r="D16" s="27">
        <v>1</v>
      </c>
      <c r="E16" s="31">
        <f>E24*D16</f>
        <v>12</v>
      </c>
    </row>
    <row r="17" spans="2:5" x14ac:dyDescent="0.3">
      <c r="B17" s="39">
        <v>78</v>
      </c>
      <c r="C17" s="25">
        <v>65233</v>
      </c>
      <c r="D17" s="27">
        <v>6</v>
      </c>
      <c r="E17" s="31">
        <f>E24*D17</f>
        <v>72</v>
      </c>
    </row>
    <row r="18" spans="2:5" x14ac:dyDescent="0.3">
      <c r="B18" s="39">
        <v>78</v>
      </c>
      <c r="C18" s="25">
        <v>34213</v>
      </c>
      <c r="D18" s="27">
        <v>1</v>
      </c>
      <c r="E18" s="31">
        <f>E24*D18</f>
        <v>12</v>
      </c>
    </row>
    <row r="19" spans="2:5" ht="4.95" customHeight="1" x14ac:dyDescent="0.3"/>
    <row r="20" spans="2:5" ht="27" customHeight="1" x14ac:dyDescent="0.3">
      <c r="B20" s="33" t="s">
        <v>60</v>
      </c>
      <c r="C20" s="33" t="s">
        <v>23</v>
      </c>
      <c r="D20" s="33" t="s">
        <v>24</v>
      </c>
      <c r="E20" s="33" t="s">
        <v>25</v>
      </c>
    </row>
    <row r="21" spans="2:5" x14ac:dyDescent="0.3">
      <c r="B21" s="41">
        <v>34213</v>
      </c>
      <c r="C21" s="41" t="s">
        <v>54</v>
      </c>
      <c r="D21" s="41" t="s">
        <v>57</v>
      </c>
      <c r="E21" s="42">
        <v>18</v>
      </c>
    </row>
    <row r="22" spans="2:5" x14ac:dyDescent="0.3">
      <c r="B22" s="41">
        <v>65233</v>
      </c>
      <c r="C22" s="41" t="s">
        <v>55</v>
      </c>
      <c r="D22" s="41" t="s">
        <v>57</v>
      </c>
      <c r="E22" s="42">
        <v>30</v>
      </c>
    </row>
    <row r="23" spans="2:5" x14ac:dyDescent="0.3">
      <c r="B23" s="41">
        <v>76532</v>
      </c>
      <c r="C23" s="41" t="s">
        <v>56</v>
      </c>
      <c r="D23" s="41" t="s">
        <v>57</v>
      </c>
      <c r="E23" s="42">
        <v>25</v>
      </c>
    </row>
    <row r="24" spans="2:5" x14ac:dyDescent="0.3">
      <c r="B24" s="41">
        <v>89812</v>
      </c>
      <c r="C24" s="41" t="s">
        <v>52</v>
      </c>
      <c r="D24" s="41" t="s">
        <v>53</v>
      </c>
      <c r="E24" s="42">
        <v>12</v>
      </c>
    </row>
  </sheetData>
  <sortState xmlns:xlrd2="http://schemas.microsoft.com/office/spreadsheetml/2017/richdata2" ref="B21:E25">
    <sortCondition ref="B21:B2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972B8-8A12-4DDD-8051-36D4FADFF8D1}">
  <dimension ref="B1:R45"/>
  <sheetViews>
    <sheetView showGridLines="0" tabSelected="1" topLeftCell="A22" zoomScale="85" zoomScaleNormal="85" workbookViewId="0">
      <selection activeCell="I45" sqref="I45"/>
    </sheetView>
  </sheetViews>
  <sheetFormatPr defaultRowHeight="14.4" x14ac:dyDescent="0.3"/>
  <cols>
    <col min="1" max="1" width="1.5546875" customWidth="1"/>
    <col min="2" max="2" width="10.6640625" customWidth="1"/>
    <col min="3" max="3" width="14.6640625" customWidth="1"/>
    <col min="4" max="4" width="12" style="15" bestFit="1" customWidth="1"/>
    <col min="5" max="5" width="12.33203125" customWidth="1"/>
    <col min="6" max="6" width="13.88671875" bestFit="1" customWidth="1"/>
    <col min="7" max="7" width="1.6640625" customWidth="1"/>
    <col min="8" max="8" width="13" customWidth="1"/>
    <col min="9" max="9" width="14.44140625" customWidth="1"/>
    <col min="10" max="10" width="12.44140625" bestFit="1" customWidth="1"/>
    <col min="11" max="14" width="12.44140625" customWidth="1"/>
    <col min="15" max="15" width="19.6640625" bestFit="1" customWidth="1"/>
    <col min="16" max="17" width="12.44140625" customWidth="1"/>
    <col min="18" max="18" width="9.44140625" customWidth="1"/>
  </cols>
  <sheetData>
    <row r="1" spans="2:9" x14ac:dyDescent="0.3">
      <c r="H1" s="40" t="s">
        <v>80</v>
      </c>
    </row>
    <row r="3" spans="2:9" ht="28.8" x14ac:dyDescent="0.3">
      <c r="B3" s="32" t="s">
        <v>51</v>
      </c>
      <c r="C3" s="33" t="s">
        <v>16</v>
      </c>
      <c r="D3" s="34" t="s">
        <v>37</v>
      </c>
      <c r="E3" s="32" t="s">
        <v>50</v>
      </c>
      <c r="F3" s="32" t="s">
        <v>81</v>
      </c>
      <c r="G3" s="40"/>
    </row>
    <row r="4" spans="2:9" x14ac:dyDescent="0.3">
      <c r="B4" s="16">
        <v>11</v>
      </c>
      <c r="C4" s="17">
        <v>44699</v>
      </c>
      <c r="D4" s="18" t="s">
        <v>29</v>
      </c>
      <c r="E4" s="16">
        <v>15</v>
      </c>
      <c r="F4" s="16">
        <v>1</v>
      </c>
    </row>
    <row r="5" spans="2:9" x14ac:dyDescent="0.3">
      <c r="B5" s="22">
        <v>33</v>
      </c>
      <c r="C5" s="23">
        <v>44703</v>
      </c>
      <c r="D5" s="24" t="s">
        <v>30</v>
      </c>
      <c r="E5" s="22">
        <v>21</v>
      </c>
      <c r="F5" s="22">
        <v>2</v>
      </c>
    </row>
    <row r="6" spans="2:9" x14ac:dyDescent="0.3">
      <c r="B6" s="19">
        <v>65</v>
      </c>
      <c r="C6" s="20">
        <v>44706</v>
      </c>
      <c r="D6" s="21" t="s">
        <v>31</v>
      </c>
      <c r="E6" s="19">
        <v>15</v>
      </c>
      <c r="F6" s="19">
        <v>3</v>
      </c>
    </row>
    <row r="7" spans="2:9" x14ac:dyDescent="0.3">
      <c r="B7" s="25">
        <v>78</v>
      </c>
      <c r="C7" s="26">
        <v>44709</v>
      </c>
      <c r="D7" s="27" t="s">
        <v>32</v>
      </c>
      <c r="E7" s="25">
        <v>43</v>
      </c>
      <c r="F7" s="25">
        <v>4</v>
      </c>
    </row>
    <row r="8" spans="2:9" ht="6" customHeight="1" x14ac:dyDescent="0.3"/>
    <row r="9" spans="2:9" ht="28.8" x14ac:dyDescent="0.3">
      <c r="B9" s="32" t="s">
        <v>59</v>
      </c>
      <c r="C9" s="33" t="s">
        <v>60</v>
      </c>
      <c r="D9" s="34" t="s">
        <v>58</v>
      </c>
      <c r="E9" s="32" t="s">
        <v>27</v>
      </c>
      <c r="H9" s="32" t="s">
        <v>50</v>
      </c>
      <c r="I9" s="33" t="s">
        <v>17</v>
      </c>
    </row>
    <row r="10" spans="2:9" x14ac:dyDescent="0.3">
      <c r="B10" s="36">
        <v>11</v>
      </c>
      <c r="C10" s="16">
        <v>89812</v>
      </c>
      <c r="D10" s="18">
        <v>2</v>
      </c>
      <c r="E10" s="28">
        <f t="shared" ref="E10:E18" si="0">E21*D10</f>
        <v>24</v>
      </c>
      <c r="H10" s="16">
        <v>15</v>
      </c>
      <c r="I10" s="16" t="s">
        <v>33</v>
      </c>
    </row>
    <row r="11" spans="2:9" x14ac:dyDescent="0.3">
      <c r="B11" s="36">
        <v>11</v>
      </c>
      <c r="C11" s="16">
        <v>76532</v>
      </c>
      <c r="D11" s="18">
        <v>2</v>
      </c>
      <c r="E11" s="28">
        <f t="shared" si="0"/>
        <v>50</v>
      </c>
      <c r="H11" s="22">
        <v>21</v>
      </c>
      <c r="I11" s="22" t="s">
        <v>35</v>
      </c>
    </row>
    <row r="12" spans="2:9" x14ac:dyDescent="0.3">
      <c r="B12" s="36">
        <v>11</v>
      </c>
      <c r="C12" s="16">
        <v>34213</v>
      </c>
      <c r="D12" s="18">
        <v>2</v>
      </c>
      <c r="E12" s="28">
        <f t="shared" si="0"/>
        <v>36</v>
      </c>
      <c r="H12" s="19">
        <v>15</v>
      </c>
      <c r="I12" s="19" t="s">
        <v>36</v>
      </c>
    </row>
    <row r="13" spans="2:9" x14ac:dyDescent="0.3">
      <c r="B13" s="37">
        <v>33</v>
      </c>
      <c r="C13" s="22">
        <v>89812</v>
      </c>
      <c r="D13" s="24">
        <v>1</v>
      </c>
      <c r="E13" s="29">
        <f t="shared" si="0"/>
        <v>12</v>
      </c>
      <c r="H13" s="25">
        <v>43</v>
      </c>
      <c r="I13" s="25" t="s">
        <v>34</v>
      </c>
    </row>
    <row r="14" spans="2:9" x14ac:dyDescent="0.3">
      <c r="B14" s="38">
        <v>65</v>
      </c>
      <c r="C14" s="19">
        <v>76532</v>
      </c>
      <c r="D14" s="21">
        <v>3</v>
      </c>
      <c r="E14" s="30">
        <f t="shared" si="0"/>
        <v>75</v>
      </c>
    </row>
    <row r="15" spans="2:9" x14ac:dyDescent="0.3">
      <c r="B15" s="38">
        <v>65</v>
      </c>
      <c r="C15" s="19">
        <v>65233</v>
      </c>
      <c r="D15" s="21">
        <v>2</v>
      </c>
      <c r="E15" s="30">
        <f t="shared" si="0"/>
        <v>60</v>
      </c>
    </row>
    <row r="16" spans="2:9" x14ac:dyDescent="0.3">
      <c r="B16" s="39">
        <v>78</v>
      </c>
      <c r="C16" s="25">
        <v>89912</v>
      </c>
      <c r="D16" s="27">
        <v>1</v>
      </c>
      <c r="E16" s="31">
        <f t="shared" si="0"/>
        <v>12</v>
      </c>
    </row>
    <row r="17" spans="2:18" x14ac:dyDescent="0.3">
      <c r="B17" s="39">
        <v>78</v>
      </c>
      <c r="C17" s="25">
        <v>65233</v>
      </c>
      <c r="D17" s="27">
        <v>6</v>
      </c>
      <c r="E17" s="31">
        <f t="shared" si="0"/>
        <v>180</v>
      </c>
    </row>
    <row r="18" spans="2:18" x14ac:dyDescent="0.3">
      <c r="B18" s="39">
        <v>78</v>
      </c>
      <c r="C18" s="25">
        <v>34213</v>
      </c>
      <c r="D18" s="27">
        <v>1</v>
      </c>
      <c r="E18" s="31">
        <f t="shared" si="0"/>
        <v>18</v>
      </c>
    </row>
    <row r="19" spans="2:18" ht="4.95" customHeight="1" x14ac:dyDescent="0.3"/>
    <row r="20" spans="2:18" ht="27" customHeight="1" x14ac:dyDescent="0.3">
      <c r="B20" s="33" t="s">
        <v>60</v>
      </c>
      <c r="C20" s="33" t="s">
        <v>23</v>
      </c>
      <c r="D20" s="33" t="s">
        <v>24</v>
      </c>
      <c r="E20" s="33" t="s">
        <v>25</v>
      </c>
      <c r="H20" s="32" t="s">
        <v>81</v>
      </c>
      <c r="I20" s="33" t="s">
        <v>18</v>
      </c>
      <c r="J20" s="33" t="s">
        <v>19</v>
      </c>
      <c r="K20" s="33" t="s">
        <v>20</v>
      </c>
      <c r="L20" s="33" t="s">
        <v>61</v>
      </c>
      <c r="M20" s="33" t="s">
        <v>62</v>
      </c>
      <c r="N20" s="33" t="s">
        <v>63</v>
      </c>
      <c r="O20" s="33" t="s">
        <v>64</v>
      </c>
      <c r="P20" s="33" t="s">
        <v>65</v>
      </c>
      <c r="Q20" s="32" t="s">
        <v>66</v>
      </c>
      <c r="R20" s="32" t="s">
        <v>67</v>
      </c>
    </row>
    <row r="21" spans="2:18" x14ac:dyDescent="0.3">
      <c r="B21" s="16">
        <v>89812</v>
      </c>
      <c r="C21" s="16" t="s">
        <v>52</v>
      </c>
      <c r="D21" s="16" t="s">
        <v>53</v>
      </c>
      <c r="E21" s="28">
        <v>12</v>
      </c>
      <c r="H21" s="16">
        <v>1</v>
      </c>
      <c r="I21" s="16" t="s">
        <v>38</v>
      </c>
      <c r="J21" s="16">
        <v>9308456788</v>
      </c>
      <c r="K21" s="16" t="s">
        <v>39</v>
      </c>
      <c r="L21" s="16" t="s">
        <v>68</v>
      </c>
      <c r="M21" s="16" t="s">
        <v>69</v>
      </c>
      <c r="N21" s="16" t="s">
        <v>70</v>
      </c>
      <c r="O21" s="16" t="s">
        <v>71</v>
      </c>
      <c r="P21" s="16" t="s">
        <v>72</v>
      </c>
      <c r="Q21" s="16">
        <v>12</v>
      </c>
      <c r="R21" s="16"/>
    </row>
    <row r="22" spans="2:18" x14ac:dyDescent="0.3">
      <c r="B22" s="16">
        <v>76532</v>
      </c>
      <c r="C22" s="16" t="s">
        <v>56</v>
      </c>
      <c r="D22" s="16" t="s">
        <v>57</v>
      </c>
      <c r="E22" s="28">
        <v>25</v>
      </c>
      <c r="H22" s="22">
        <v>2</v>
      </c>
      <c r="I22" s="22" t="s">
        <v>41</v>
      </c>
      <c r="J22" s="22">
        <v>5432176542</v>
      </c>
      <c r="K22" s="22" t="s">
        <v>44</v>
      </c>
      <c r="L22" s="22" t="s">
        <v>68</v>
      </c>
      <c r="M22" s="22" t="s">
        <v>69</v>
      </c>
      <c r="N22" s="22" t="s">
        <v>70</v>
      </c>
      <c r="O22" s="22" t="s">
        <v>73</v>
      </c>
      <c r="P22" s="22" t="s">
        <v>74</v>
      </c>
      <c r="Q22" s="22">
        <v>23</v>
      </c>
      <c r="R22" s="22"/>
    </row>
    <row r="23" spans="2:18" x14ac:dyDescent="0.3">
      <c r="B23" s="16">
        <v>34213</v>
      </c>
      <c r="C23" s="16" t="s">
        <v>54</v>
      </c>
      <c r="D23" s="16" t="s">
        <v>57</v>
      </c>
      <c r="E23" s="28">
        <v>18</v>
      </c>
      <c r="H23" s="19">
        <v>3</v>
      </c>
      <c r="I23" s="19" t="s">
        <v>42</v>
      </c>
      <c r="J23" s="19">
        <v>12034567890</v>
      </c>
      <c r="K23" s="19" t="s">
        <v>45</v>
      </c>
      <c r="L23" s="19" t="s">
        <v>68</v>
      </c>
      <c r="M23" s="19" t="s">
        <v>69</v>
      </c>
      <c r="N23" s="19" t="s">
        <v>75</v>
      </c>
      <c r="O23" s="19" t="s">
        <v>73</v>
      </c>
      <c r="P23" s="19" t="s">
        <v>76</v>
      </c>
      <c r="Q23" s="19">
        <v>33</v>
      </c>
      <c r="R23" s="19"/>
    </row>
    <row r="24" spans="2:18" x14ac:dyDescent="0.3">
      <c r="B24" s="22">
        <v>89812</v>
      </c>
      <c r="C24" s="22" t="s">
        <v>52</v>
      </c>
      <c r="D24" s="22" t="s">
        <v>53</v>
      </c>
      <c r="E24" s="29">
        <v>12</v>
      </c>
      <c r="H24" s="25">
        <v>4</v>
      </c>
      <c r="I24" s="25" t="s">
        <v>43</v>
      </c>
      <c r="J24" s="25">
        <v>13020265422</v>
      </c>
      <c r="K24" s="25" t="s">
        <v>46</v>
      </c>
      <c r="L24" s="25" t="s">
        <v>68</v>
      </c>
      <c r="M24" s="25" t="s">
        <v>69</v>
      </c>
      <c r="N24" s="25" t="s">
        <v>77</v>
      </c>
      <c r="O24" s="25" t="s">
        <v>78</v>
      </c>
      <c r="P24" s="25" t="s">
        <v>79</v>
      </c>
      <c r="Q24" s="25">
        <v>1234</v>
      </c>
      <c r="R24" s="25"/>
    </row>
    <row r="25" spans="2:18" x14ac:dyDescent="0.3">
      <c r="B25" s="19">
        <v>76532</v>
      </c>
      <c r="C25" s="19" t="s">
        <v>56</v>
      </c>
      <c r="D25" s="19" t="s">
        <v>57</v>
      </c>
      <c r="E25" s="30">
        <v>25</v>
      </c>
    </row>
    <row r="26" spans="2:18" x14ac:dyDescent="0.3">
      <c r="B26" s="19">
        <v>65233</v>
      </c>
      <c r="C26" s="19" t="s">
        <v>55</v>
      </c>
      <c r="D26" s="19" t="s">
        <v>57</v>
      </c>
      <c r="E26" s="30">
        <v>30</v>
      </c>
    </row>
    <row r="27" spans="2:18" x14ac:dyDescent="0.3">
      <c r="B27" s="25">
        <v>89912</v>
      </c>
      <c r="C27" s="25" t="s">
        <v>52</v>
      </c>
      <c r="D27" s="25" t="s">
        <v>53</v>
      </c>
      <c r="E27" s="31">
        <v>12</v>
      </c>
    </row>
    <row r="28" spans="2:18" x14ac:dyDescent="0.3">
      <c r="B28" s="25">
        <v>65233</v>
      </c>
      <c r="C28" s="25" t="s">
        <v>55</v>
      </c>
      <c r="D28" s="25" t="s">
        <v>57</v>
      </c>
      <c r="E28" s="31">
        <v>30</v>
      </c>
    </row>
    <row r="29" spans="2:18" x14ac:dyDescent="0.3">
      <c r="B29" s="25">
        <v>34213</v>
      </c>
      <c r="C29" s="25" t="s">
        <v>54</v>
      </c>
      <c r="D29" s="25" t="s">
        <v>57</v>
      </c>
      <c r="E29" s="31">
        <v>18</v>
      </c>
    </row>
    <row r="45" spans="9:9" x14ac:dyDescent="0.3">
      <c r="I45" s="4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PedidoVenda</vt:lpstr>
      <vt:lpstr>DadosPedidoVenda</vt:lpstr>
      <vt:lpstr>1FNDadosPedidoVenda</vt:lpstr>
      <vt:lpstr>2FNDadosPedidoVenda</vt:lpstr>
      <vt:lpstr>3FNDadosPedidoVenda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Salvio Padlipskas</dc:creator>
  <cp:lastModifiedBy>Moisés Waidemann Molinillo Junior</cp:lastModifiedBy>
  <dcterms:created xsi:type="dcterms:W3CDTF">2021-06-08T17:21:40Z</dcterms:created>
  <dcterms:modified xsi:type="dcterms:W3CDTF">2025-08-19T23:25:01Z</dcterms:modified>
</cp:coreProperties>
</file>